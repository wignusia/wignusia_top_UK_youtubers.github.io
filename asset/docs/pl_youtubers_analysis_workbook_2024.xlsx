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us\Documents\Data_Portfolio_Excel_to_Power_BI\"/>
    </mc:Choice>
  </mc:AlternateContent>
  <xr:revisionPtr revIDLastSave="0" documentId="13_ncr:1_{3DB1CFC7-B3DC-4985-B8BD-A159FFBD503C}" xr6:coauthVersionLast="47" xr6:coauthVersionMax="47" xr10:uidLastSave="{00000000-0000-0000-0000-000000000000}"/>
  <bookViews>
    <workbookView xWindow="-28920" yWindow="-120" windowWidth="29040" windowHeight="15720" xr2:uid="{EDFAA98F-081B-4C2F-A5EE-B4BE056720F8}"/>
  </bookViews>
  <sheets>
    <sheet name="total subs analysis" sheetId="4" r:id="rId1"/>
    <sheet name="total videos analysis" sheetId="3" r:id="rId2"/>
    <sheet name="total views analysi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4" l="1"/>
  <c r="F10" i="4"/>
  <c r="D10" i="4"/>
  <c r="N10" i="1"/>
  <c r="D14" i="1"/>
  <c r="L14" i="1" s="1"/>
  <c r="F14" i="1"/>
  <c r="M14" i="1" s="1"/>
  <c r="H14" i="1"/>
  <c r="D6" i="3"/>
  <c r="H14" i="3" s="1"/>
  <c r="N14" i="3" s="1"/>
  <c r="D14" i="3"/>
  <c r="F14" i="3"/>
  <c r="N12" i="4"/>
  <c r="M10" i="4"/>
  <c r="M12" i="4"/>
  <c r="K12" i="4"/>
  <c r="K11" i="4"/>
  <c r="K10" i="4"/>
  <c r="L10" i="4"/>
  <c r="N10" i="4"/>
  <c r="M11" i="4"/>
  <c r="N11" i="4"/>
  <c r="L12" i="4"/>
  <c r="L11" i="4"/>
  <c r="H11" i="4"/>
  <c r="H12" i="4"/>
  <c r="H10" i="4"/>
  <c r="F11" i="4"/>
  <c r="F12" i="4"/>
  <c r="D12" i="4"/>
  <c r="M14" i="3"/>
  <c r="L14" i="3"/>
  <c r="K14" i="3"/>
  <c r="K13" i="3"/>
  <c r="D13" i="3"/>
  <c r="K12" i="3"/>
  <c r="D12" i="3"/>
  <c r="K11" i="3"/>
  <c r="D11" i="3"/>
  <c r="K10" i="3"/>
  <c r="D10" i="3"/>
  <c r="K14" i="1"/>
  <c r="N14" i="1"/>
  <c r="D10" i="1"/>
  <c r="F10" i="1"/>
  <c r="H10" i="1" s="1"/>
  <c r="K13" i="1"/>
  <c r="D13" i="1"/>
  <c r="D11" i="1"/>
  <c r="D12" i="1"/>
  <c r="K11" i="1"/>
  <c r="K12" i="1"/>
  <c r="K10" i="1"/>
  <c r="L11" i="3" l="1"/>
  <c r="F11" i="3"/>
  <c r="F13" i="3"/>
  <c r="L13" i="3"/>
  <c r="F12" i="3"/>
  <c r="L12" i="3"/>
  <c r="L10" i="3"/>
  <c r="F10" i="3"/>
  <c r="F13" i="1"/>
  <c r="L13" i="1"/>
  <c r="L12" i="1"/>
  <c r="F12" i="1"/>
  <c r="H12" i="1" s="1"/>
  <c r="L11" i="1"/>
  <c r="F11" i="1"/>
  <c r="H11" i="1" s="1"/>
  <c r="L10" i="1"/>
  <c r="M11" i="3" l="1"/>
  <c r="H11" i="3"/>
  <c r="N11" i="3" s="1"/>
  <c r="H13" i="3"/>
  <c r="N13" i="3" s="1"/>
  <c r="M13" i="3"/>
  <c r="M12" i="3"/>
  <c r="H12" i="3"/>
  <c r="N12" i="3" s="1"/>
  <c r="H10" i="3"/>
  <c r="N10" i="3" s="1"/>
  <c r="M10" i="3"/>
  <c r="M13" i="1"/>
  <c r="H13" i="1"/>
  <c r="N13" i="1" s="1"/>
  <c r="N12" i="1"/>
  <c r="M12" i="1"/>
  <c r="N11" i="1"/>
  <c r="M11" i="1"/>
  <c r="M10" i="1"/>
</calcChain>
</file>

<file path=xl/sharedStrings.xml><?xml version="1.0" encoding="utf-8"?>
<sst xmlns="http://schemas.openxmlformats.org/spreadsheetml/2006/main" count="82" uniqueCount="42">
  <si>
    <t>Total Subscribers Analysis</t>
  </si>
  <si>
    <t>Channel Name</t>
  </si>
  <si>
    <t>Avg Views per Vid (Excel)</t>
  </si>
  <si>
    <t>Avg Views per Vid (SQL)</t>
  </si>
  <si>
    <t xml:space="preserve">Potential Product Sales per video (Excel) </t>
  </si>
  <si>
    <t xml:space="preserve">Potential Product Sales per video (SQL) </t>
  </si>
  <si>
    <t>Net profit (Excel)</t>
  </si>
  <si>
    <t>Net profit (SQL)</t>
  </si>
  <si>
    <t>Difference  (Excel vs SQL)</t>
  </si>
  <si>
    <t>Conversion rate</t>
  </si>
  <si>
    <t>Product cost</t>
  </si>
  <si>
    <t>Campaign cost</t>
  </si>
  <si>
    <t>Campaign type</t>
  </si>
  <si>
    <t>Reconciliations (Excel vs SQL) :</t>
  </si>
  <si>
    <t>Recommendations</t>
  </si>
  <si>
    <t>Product placement</t>
  </si>
  <si>
    <t xml:space="preserve">Avg Views per Vid </t>
  </si>
  <si>
    <t xml:space="preserve">Potential Product Sales per video </t>
  </si>
  <si>
    <t xml:space="preserve">Potential revenue per video ($USD) </t>
  </si>
  <si>
    <t>Net profit</t>
  </si>
  <si>
    <t>Step Records</t>
  </si>
  <si>
    <t>tvnpl</t>
  </si>
  <si>
    <t>SBM Label</t>
  </si>
  <si>
    <t>Śpiewające Brzdące - Piosenki dla dzieci</t>
  </si>
  <si>
    <t>Bazylland - Tractors &amp; Excavators</t>
  </si>
  <si>
    <t>Potential revenue per video (PLN) (Excel)</t>
  </si>
  <si>
    <t>Potential revenue per video (PLN) (SQL)</t>
  </si>
  <si>
    <t>Total Videos Analysis</t>
  </si>
  <si>
    <t>Total Views Analysis</t>
  </si>
  <si>
    <t>WB Kids International</t>
  </si>
  <si>
    <t>reZigiusz</t>
  </si>
  <si>
    <t xml:space="preserve">Potential revenue per video ($PLN) </t>
  </si>
  <si>
    <t>Recommendations :</t>
  </si>
  <si>
    <r>
      <t xml:space="preserve">Based on the viewershp and views per subscriber, </t>
    </r>
    <r>
      <rPr>
        <i/>
        <sz val="11"/>
        <color rgb="FF000000"/>
        <rFont val="Aptos Narrow"/>
        <family val="2"/>
      </rPr>
      <t>Bazylland - Tractors &amp; Excavator</t>
    </r>
    <r>
      <rPr>
        <sz val="11"/>
        <color rgb="FF000000"/>
        <rFont val="Aptos Narrow"/>
        <family val="2"/>
      </rPr>
      <t xml:space="preserve"> appears to be the best option to advance with because there's a higher return on investment (ROI) with </t>
    </r>
    <r>
      <rPr>
        <i/>
        <sz val="11"/>
        <color rgb="FF000000"/>
        <rFont val="Aptos Narrow"/>
        <family val="2"/>
      </rPr>
      <t>Bazylland - Tractors &amp; Excavato</t>
    </r>
    <r>
      <rPr>
        <sz val="11"/>
        <color rgb="FF000000"/>
        <rFont val="Aptos Narrow"/>
        <family val="2"/>
      </rPr>
      <t>r compared to the other channels.</t>
    </r>
  </si>
  <si>
    <t>TVN Series</t>
  </si>
  <si>
    <t>Polsat</t>
  </si>
  <si>
    <t>Admiros</t>
  </si>
  <si>
    <t>JASNA STRONA</t>
  </si>
  <si>
    <t>11-video series sponsorship (PLN 4500k per vid)</t>
  </si>
  <si>
    <t>All channels show negative ROI, but TVN and Polsat remain the most consistent uploaders with reasonable average views. Recommend a cross-media campaign (TV + YouTube) to build long-term reach. 
Note: 4th and 5th ranked channels are also unprofitable and lack significant performance in other metrics</t>
  </si>
  <si>
    <t>Influencer marketing</t>
  </si>
  <si>
    <t>"Śpiewające Brzdące" has top ROI but wrong target audience (kids). "Bazylland" is the best strategic fit with positive ROI. Recommend a package deal for the top 3 channels to maximize collective returns and establish a long-term partnership. 
For Tvn Recommend a cross-media campaign (TV + YouTube) to build long-term 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</si>
</sst>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1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rgb="FF006100"/>
      <name val="Calibri"/>
      <family val="2"/>
      <charset val="238"/>
      <scheme val="minor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100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3" xfId="0" applyNumberFormat="1" applyBorder="1"/>
    <xf numFmtId="0" fontId="9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0" fillId="6" borderId="9" xfId="4" applyFont="1" applyFill="1" applyBorder="1" applyAlignment="1">
      <alignment horizontal="center" vertical="center" wrapText="1"/>
    </xf>
    <xf numFmtId="0" fontId="10" fillId="7" borderId="9" xfId="3" applyFont="1" applyFill="1" applyBorder="1" applyAlignment="1">
      <alignment horizontal="center" vertical="center" wrapText="1"/>
    </xf>
    <xf numFmtId="0" fontId="10" fillId="8" borderId="9" xfId="2" applyFont="1" applyFill="1" applyBorder="1" applyAlignment="1">
      <alignment horizontal="center" vertical="center" wrapText="1"/>
    </xf>
    <xf numFmtId="0" fontId="10" fillId="9" borderId="9" xfId="5" applyFont="1" applyFill="1" applyBorder="1" applyAlignment="1">
      <alignment horizontal="center" vertical="center" wrapText="1"/>
    </xf>
    <xf numFmtId="0" fontId="10" fillId="9" borderId="10" xfId="5" applyFont="1" applyFill="1" applyBorder="1" applyAlignment="1">
      <alignment horizontal="center" vertical="center" wrapText="1"/>
    </xf>
    <xf numFmtId="165" fontId="0" fillId="0" borderId="5" xfId="1" applyNumberFormat="1" applyFont="1" applyBorder="1"/>
    <xf numFmtId="0" fontId="12" fillId="0" borderId="7" xfId="0" applyFont="1" applyBorder="1"/>
    <xf numFmtId="0" fontId="6" fillId="0" borderId="0" xfId="0" applyFont="1" applyAlignment="1">
      <alignment horizontal="center"/>
    </xf>
    <xf numFmtId="164" fontId="0" fillId="0" borderId="1" xfId="1" applyNumberFormat="1" applyFont="1" applyBorder="1" applyAlignment="1">
      <alignment vertical="center"/>
    </xf>
    <xf numFmtId="164" fontId="0" fillId="0" borderId="5" xfId="1" applyNumberFormat="1" applyFont="1" applyBorder="1" applyAlignment="1">
      <alignment vertical="center"/>
    </xf>
    <xf numFmtId="164" fontId="0" fillId="0" borderId="13" xfId="1" applyNumberFormat="1" applyFont="1" applyBorder="1" applyAlignment="1">
      <alignment vertical="center"/>
    </xf>
    <xf numFmtId="164" fontId="0" fillId="0" borderId="7" xfId="1" applyNumberFormat="1" applyFont="1" applyBorder="1" applyAlignment="1">
      <alignment vertical="center"/>
    </xf>
    <xf numFmtId="164" fontId="0" fillId="0" borderId="15" xfId="1" applyNumberFormat="1" applyFont="1" applyBorder="1" applyAlignment="1">
      <alignment vertical="center"/>
    </xf>
    <xf numFmtId="164" fontId="0" fillId="0" borderId="16" xfId="1" applyNumberFormat="1" applyFont="1" applyBorder="1" applyAlignment="1">
      <alignment vertical="center"/>
    </xf>
    <xf numFmtId="164" fontId="0" fillId="0" borderId="20" xfId="1" applyNumberFormat="1" applyFont="1" applyBorder="1" applyAlignment="1">
      <alignment vertical="center"/>
    </xf>
    <xf numFmtId="164" fontId="0" fillId="0" borderId="8" xfId="1" applyNumberFormat="1" applyFont="1" applyBorder="1" applyAlignment="1">
      <alignment vertical="center"/>
    </xf>
    <xf numFmtId="164" fontId="0" fillId="0" borderId="12" xfId="1" applyNumberFormat="1" applyFont="1" applyBorder="1" applyAlignment="1">
      <alignment vertical="center"/>
    </xf>
    <xf numFmtId="164" fontId="10" fillId="6" borderId="21" xfId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7" fillId="6" borderId="6" xfId="1" applyNumberFormat="1" applyFont="1" applyFill="1" applyBorder="1" applyAlignment="1">
      <alignment horizontal="center" vertical="center" wrapText="1"/>
    </xf>
    <xf numFmtId="0" fontId="7" fillId="7" borderId="13" xfId="3" applyFont="1" applyFill="1" applyBorder="1" applyAlignment="1">
      <alignment horizontal="center" vertical="center" wrapText="1"/>
    </xf>
    <xf numFmtId="0" fontId="7" fillId="8" borderId="13" xfId="2" applyFont="1" applyFill="1" applyBorder="1" applyAlignment="1">
      <alignment horizontal="center" vertical="center" wrapText="1"/>
    </xf>
    <xf numFmtId="0" fontId="7" fillId="9" borderId="7" xfId="5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0" fillId="11" borderId="14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/>
    </xf>
    <xf numFmtId="0" fontId="11" fillId="11" borderId="17" xfId="0" applyFont="1" applyFill="1" applyBorder="1" applyAlignment="1">
      <alignment horizontal="center" vertical="center" wrapText="1"/>
    </xf>
    <xf numFmtId="0" fontId="5" fillId="11" borderId="17" xfId="0" applyFont="1" applyFill="1" applyBorder="1" applyAlignment="1">
      <alignment horizontal="center"/>
    </xf>
    <xf numFmtId="0" fontId="5" fillId="11" borderId="18" xfId="0" applyFont="1" applyFill="1" applyBorder="1" applyAlignment="1">
      <alignment horizontal="center" wrapText="1"/>
    </xf>
    <xf numFmtId="0" fontId="10" fillId="12" borderId="14" xfId="0" applyFont="1" applyFill="1" applyBorder="1" applyAlignment="1">
      <alignment horizontal="center" vertical="center" wrapText="1"/>
    </xf>
    <xf numFmtId="43" fontId="11" fillId="12" borderId="19" xfId="1" applyFont="1" applyFill="1" applyBorder="1" applyAlignment="1">
      <alignment horizontal="center"/>
    </xf>
    <xf numFmtId="0" fontId="11" fillId="12" borderId="17" xfId="0" applyFont="1" applyFill="1" applyBorder="1" applyAlignment="1">
      <alignment horizontal="center"/>
    </xf>
    <xf numFmtId="0" fontId="11" fillId="12" borderId="17" xfId="0" applyFont="1" applyFill="1" applyBorder="1" applyAlignment="1">
      <alignment horizontal="center" vertical="center" wrapText="1"/>
    </xf>
    <xf numFmtId="0" fontId="5" fillId="12" borderId="17" xfId="0" applyFont="1" applyFill="1" applyBorder="1" applyAlignment="1">
      <alignment horizontal="center"/>
    </xf>
    <xf numFmtId="0" fontId="5" fillId="12" borderId="18" xfId="0" applyFont="1" applyFill="1" applyBorder="1" applyAlignment="1">
      <alignment horizontal="center" wrapText="1"/>
    </xf>
    <xf numFmtId="164" fontId="13" fillId="0" borderId="13" xfId="1" applyNumberFormat="1" applyFont="1" applyBorder="1" applyAlignment="1">
      <alignment vertical="center"/>
    </xf>
    <xf numFmtId="164" fontId="13" fillId="0" borderId="7" xfId="1" applyNumberFormat="1" applyFont="1" applyBorder="1" applyAlignment="1">
      <alignment vertical="center"/>
    </xf>
    <xf numFmtId="164" fontId="13" fillId="0" borderId="1" xfId="1" applyNumberFormat="1" applyFont="1" applyBorder="1" applyAlignment="1">
      <alignment vertical="center"/>
    </xf>
    <xf numFmtId="164" fontId="13" fillId="0" borderId="5" xfId="1" applyNumberFormat="1" applyFont="1" applyBorder="1" applyAlignment="1">
      <alignment vertical="center"/>
    </xf>
    <xf numFmtId="0" fontId="10" fillId="10" borderId="2" xfId="0" applyFont="1" applyFill="1" applyBorder="1" applyAlignment="1">
      <alignment horizontal="center" vertical="center" wrapText="1"/>
    </xf>
    <xf numFmtId="164" fontId="10" fillId="6" borderId="26" xfId="1" applyNumberFormat="1" applyFont="1" applyFill="1" applyBorder="1" applyAlignment="1">
      <alignment horizontal="center" vertical="center" wrapText="1"/>
    </xf>
    <xf numFmtId="0" fontId="10" fillId="6" borderId="26" xfId="4" applyFont="1" applyFill="1" applyBorder="1" applyAlignment="1">
      <alignment horizontal="center" vertical="center" wrapText="1"/>
    </xf>
    <xf numFmtId="0" fontId="10" fillId="7" borderId="26" xfId="3" applyFont="1" applyFill="1" applyBorder="1" applyAlignment="1">
      <alignment horizontal="center" vertical="center" wrapText="1"/>
    </xf>
    <xf numFmtId="0" fontId="10" fillId="8" borderId="26" xfId="2" applyFont="1" applyFill="1" applyBorder="1" applyAlignment="1">
      <alignment horizontal="center" vertical="center" wrapText="1"/>
    </xf>
    <xf numFmtId="0" fontId="10" fillId="9" borderId="26" xfId="5" applyFont="1" applyFill="1" applyBorder="1" applyAlignment="1">
      <alignment horizontal="center" vertical="center" wrapText="1"/>
    </xf>
    <xf numFmtId="0" fontId="10" fillId="9" borderId="3" xfId="5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wrapText="1"/>
    </xf>
    <xf numFmtId="0" fontId="5" fillId="10" borderId="4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 vertical="center" wrapText="1"/>
    </xf>
    <xf numFmtId="164" fontId="14" fillId="2" borderId="1" xfId="2" applyNumberFormat="1" applyFont="1" applyBorder="1" applyAlignment="1">
      <alignment vertical="center"/>
    </xf>
    <xf numFmtId="164" fontId="14" fillId="2" borderId="5" xfId="2" applyNumberFormat="1" applyFont="1" applyBorder="1" applyAlignment="1">
      <alignment vertical="center"/>
    </xf>
    <xf numFmtId="164" fontId="0" fillId="0" borderId="8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2" fontId="0" fillId="0" borderId="3" xfId="0" applyNumberFormat="1" applyBorder="1" applyAlignment="1">
      <alignment wrapText="1"/>
    </xf>
    <xf numFmtId="0" fontId="0" fillId="0" borderId="5" xfId="0" applyBorder="1" applyAlignment="1">
      <alignment wrapText="1"/>
    </xf>
    <xf numFmtId="165" fontId="0" fillId="0" borderId="5" xfId="1" applyNumberFormat="1" applyFont="1" applyBorder="1" applyAlignment="1">
      <alignment wrapText="1"/>
    </xf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1" applyNumberFormat="1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164" fontId="2" fillId="2" borderId="13" xfId="2" applyNumberFormat="1" applyBorder="1" applyAlignment="1">
      <alignment vertical="center"/>
    </xf>
    <xf numFmtId="164" fontId="2" fillId="2" borderId="7" xfId="2" applyNumberFormat="1" applyBorder="1" applyAlignment="1">
      <alignment vertical="center"/>
    </xf>
    <xf numFmtId="0" fontId="6" fillId="12" borderId="0" xfId="0" applyFont="1" applyFill="1" applyAlignment="1">
      <alignment horizontal="center"/>
    </xf>
    <xf numFmtId="0" fontId="5" fillId="0" borderId="0" xfId="0" applyFont="1"/>
    <xf numFmtId="0" fontId="9" fillId="12" borderId="22" xfId="0" applyFont="1" applyFill="1" applyBorder="1" applyAlignment="1">
      <alignment horizontal="center" vertical="center" wrapText="1"/>
    </xf>
    <xf numFmtId="0" fontId="9" fillId="12" borderId="23" xfId="0" applyFont="1" applyFill="1" applyBorder="1" applyAlignment="1">
      <alignment horizontal="center" vertical="center" wrapText="1"/>
    </xf>
    <xf numFmtId="0" fontId="9" fillId="12" borderId="2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6" fillId="10" borderId="0" xfId="0" applyFont="1" applyFill="1" applyAlignment="1">
      <alignment horizontal="center"/>
    </xf>
    <xf numFmtId="0" fontId="9" fillId="10" borderId="22" xfId="0" applyFont="1" applyFill="1" applyBorder="1" applyAlignment="1">
      <alignment horizontal="center" vertical="center" wrapText="1"/>
    </xf>
    <xf numFmtId="0" fontId="9" fillId="10" borderId="23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11" borderId="0" xfId="0" applyFont="1" applyFill="1" applyAlignment="1">
      <alignment horizontal="center"/>
    </xf>
    <xf numFmtId="0" fontId="9" fillId="11" borderId="22" xfId="0" applyFont="1" applyFill="1" applyBorder="1" applyAlignment="1">
      <alignment horizontal="center" vertical="center" wrapText="1"/>
    </xf>
    <xf numFmtId="0" fontId="9" fillId="11" borderId="23" xfId="0" applyFont="1" applyFill="1" applyBorder="1" applyAlignment="1">
      <alignment horizontal="center" vertical="center" wrapText="1"/>
    </xf>
    <xf numFmtId="0" fontId="9" fillId="11" borderId="24" xfId="0" applyFont="1" applyFill="1" applyBorder="1" applyAlignment="1">
      <alignment horizontal="center" vertical="center" wrapText="1"/>
    </xf>
  </cellXfs>
  <cellStyles count="6">
    <cellStyle name="20% — akcent 4" xfId="5" builtinId="42"/>
    <cellStyle name="Dobry" xfId="2" builtinId="26"/>
    <cellStyle name="Dziesiętny" xfId="1" builtinId="3"/>
    <cellStyle name="Neutralny" xfId="4" builtinId="28"/>
    <cellStyle name="Normalny" xfId="0" builtinId="0"/>
    <cellStyle name="Zły" xfId="3" builtinId="27"/>
  </cellStyles>
  <dxfs count="6"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FFCC"/>
      <color rgb="FFFFCCCC"/>
      <color rgb="FFCCFFCC"/>
      <color rgb="FFFFCCFF"/>
      <color rgb="FFCC99FF"/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F548-E7E8-4CD5-A8AC-1DB26ED95F96}">
  <dimension ref="A1:N16"/>
  <sheetViews>
    <sheetView tabSelected="1" workbookViewId="0">
      <selection activeCell="D13" sqref="D13"/>
    </sheetView>
  </sheetViews>
  <sheetFormatPr defaultRowHeight="15" x14ac:dyDescent="0.25"/>
  <cols>
    <col min="1" max="1" width="21.85546875" customWidth="1"/>
    <col min="2" max="2" width="14.140625" bestFit="1" customWidth="1"/>
    <col min="3" max="3" width="15" customWidth="1"/>
    <col min="4" max="4" width="18.140625" customWidth="1"/>
    <col min="5" max="5" width="17" customWidth="1"/>
    <col min="6" max="6" width="15.5703125" customWidth="1"/>
    <col min="7" max="7" width="14.5703125" customWidth="1"/>
    <col min="8" max="8" width="11.85546875" customWidth="1"/>
    <col min="9" max="9" width="13" customWidth="1"/>
    <col min="10" max="10" width="11.28515625" customWidth="1"/>
  </cols>
  <sheetData>
    <row r="1" spans="1:14" ht="23.25" x14ac:dyDescent="0.35">
      <c r="A1" s="90" t="s">
        <v>0</v>
      </c>
      <c r="B1" s="90"/>
      <c r="C1" s="90"/>
      <c r="D1" s="90"/>
      <c r="E1" s="15"/>
    </row>
    <row r="3" spans="1:14" ht="15.75" thickBot="1" x14ac:dyDescent="0.3"/>
    <row r="4" spans="1:14" x14ac:dyDescent="0.25">
      <c r="A4" s="85" t="s">
        <v>13</v>
      </c>
      <c r="B4" s="85"/>
      <c r="C4" s="1" t="s">
        <v>9</v>
      </c>
      <c r="D4" s="5">
        <v>0.02</v>
      </c>
    </row>
    <row r="5" spans="1:14" x14ac:dyDescent="0.25">
      <c r="C5" s="2" t="s">
        <v>10</v>
      </c>
      <c r="D5" s="3">
        <v>8.5</v>
      </c>
    </row>
    <row r="6" spans="1:14" x14ac:dyDescent="0.25">
      <c r="C6" s="2" t="s">
        <v>11</v>
      </c>
      <c r="D6" s="13">
        <v>40000</v>
      </c>
    </row>
    <row r="7" spans="1:14" ht="15.75" thickBot="1" x14ac:dyDescent="0.3">
      <c r="C7" s="4" t="s">
        <v>12</v>
      </c>
      <c r="D7" s="14" t="s">
        <v>15</v>
      </c>
    </row>
    <row r="8" spans="1:14" ht="16.5" customHeight="1" thickBot="1" x14ac:dyDescent="0.3">
      <c r="K8" s="91" t="s">
        <v>8</v>
      </c>
      <c r="L8" s="92"/>
      <c r="M8" s="92"/>
      <c r="N8" s="93"/>
    </row>
    <row r="9" spans="1:14" ht="66.75" customHeight="1" thickBot="1" x14ac:dyDescent="0.3">
      <c r="A9" s="54" t="s">
        <v>1</v>
      </c>
      <c r="B9" s="55" t="s">
        <v>2</v>
      </c>
      <c r="C9" s="56" t="s">
        <v>3</v>
      </c>
      <c r="D9" s="57" t="s">
        <v>4</v>
      </c>
      <c r="E9" s="57" t="s">
        <v>5</v>
      </c>
      <c r="F9" s="58" t="s">
        <v>25</v>
      </c>
      <c r="G9" s="58" t="s">
        <v>26</v>
      </c>
      <c r="H9" s="59" t="s">
        <v>6</v>
      </c>
      <c r="I9" s="60" t="s">
        <v>7</v>
      </c>
      <c r="K9" s="34" t="s">
        <v>16</v>
      </c>
      <c r="L9" s="35" t="s">
        <v>17</v>
      </c>
      <c r="M9" s="36" t="s">
        <v>31</v>
      </c>
      <c r="N9" s="37" t="s">
        <v>19</v>
      </c>
    </row>
    <row r="10" spans="1:14" ht="30" x14ac:dyDescent="0.25">
      <c r="A10" s="61" t="s">
        <v>24</v>
      </c>
      <c r="B10" s="52">
        <v>3440000</v>
      </c>
      <c r="C10" s="52">
        <v>3440000</v>
      </c>
      <c r="D10" s="52">
        <f>B10*$D$4</f>
        <v>68800</v>
      </c>
      <c r="E10" s="52">
        <v>68800</v>
      </c>
      <c r="F10" s="52">
        <f>D10*$D$5</f>
        <v>584800</v>
      </c>
      <c r="G10" s="52">
        <v>584800</v>
      </c>
      <c r="H10" s="64">
        <f>F10-$D$6</f>
        <v>544800</v>
      </c>
      <c r="I10" s="65">
        <v>544800</v>
      </c>
      <c r="K10" s="67">
        <f>B10-C10</f>
        <v>0</v>
      </c>
      <c r="L10" s="66">
        <f>D10-E10</f>
        <v>0</v>
      </c>
      <c r="M10" s="66">
        <f>F10-G10</f>
        <v>0</v>
      </c>
      <c r="N10" s="72">
        <f>F10-G10</f>
        <v>0</v>
      </c>
    </row>
    <row r="11" spans="1:14" x14ac:dyDescent="0.25">
      <c r="A11" s="62" t="s">
        <v>29</v>
      </c>
      <c r="B11" s="52">
        <v>1540000</v>
      </c>
      <c r="C11" s="52">
        <v>1540000</v>
      </c>
      <c r="D11" s="52">
        <f>B11*$D$4</f>
        <v>30800</v>
      </c>
      <c r="E11" s="52">
        <v>30800</v>
      </c>
      <c r="F11" s="52">
        <f t="shared" ref="F11:F12" si="0">D11*$D$5</f>
        <v>261800</v>
      </c>
      <c r="G11" s="52">
        <v>261800</v>
      </c>
      <c r="H11" s="52">
        <f t="shared" ref="H11:H12" si="1">F11-$D$6</f>
        <v>221800</v>
      </c>
      <c r="I11" s="53">
        <v>221800</v>
      </c>
      <c r="K11" s="68">
        <f>B11-C11</f>
        <v>0</v>
      </c>
      <c r="L11" s="66">
        <f>D11-E11</f>
        <v>0</v>
      </c>
      <c r="M11" s="66">
        <f>F11-G11</f>
        <v>0</v>
      </c>
      <c r="N11" s="72">
        <f>F11-G11</f>
        <v>0</v>
      </c>
    </row>
    <row r="12" spans="1:14" ht="15.75" thickBot="1" x14ac:dyDescent="0.3">
      <c r="A12" s="63" t="s">
        <v>30</v>
      </c>
      <c r="B12" s="50">
        <v>870000</v>
      </c>
      <c r="C12" s="50">
        <v>870000</v>
      </c>
      <c r="D12" s="50">
        <f t="shared" ref="D11:D12" si="2">B12*$D$4</f>
        <v>17400</v>
      </c>
      <c r="E12" s="50">
        <v>17400</v>
      </c>
      <c r="F12" s="50">
        <f t="shared" si="0"/>
        <v>147900</v>
      </c>
      <c r="G12" s="50">
        <v>147900</v>
      </c>
      <c r="H12" s="50">
        <f t="shared" si="1"/>
        <v>107900</v>
      </c>
      <c r="I12" s="51">
        <v>107900</v>
      </c>
      <c r="K12" s="69">
        <f>B12-C12</f>
        <v>0</v>
      </c>
      <c r="L12" s="73">
        <f>D12-E12</f>
        <v>0</v>
      </c>
      <c r="M12" s="70">
        <f>F12-G12</f>
        <v>0</v>
      </c>
      <c r="N12" s="71">
        <f>H12-I12</f>
        <v>0</v>
      </c>
    </row>
    <row r="14" spans="1:14" ht="23.25" customHeight="1" x14ac:dyDescent="0.25">
      <c r="F14" s="6"/>
      <c r="G14" s="6"/>
      <c r="H14" s="6"/>
      <c r="I14" s="6"/>
    </row>
    <row r="15" spans="1:14" ht="20.25" customHeight="1" x14ac:dyDescent="0.25">
      <c r="A15" s="38" t="s">
        <v>32</v>
      </c>
    </row>
    <row r="16" spans="1:14" ht="45" customHeight="1" x14ac:dyDescent="0.25">
      <c r="A16" s="94" t="s">
        <v>33</v>
      </c>
      <c r="B16" s="94"/>
      <c r="C16" s="94"/>
      <c r="D16" s="94"/>
      <c r="E16" s="94"/>
      <c r="F16" s="94"/>
      <c r="G16" s="94"/>
      <c r="H16" s="94"/>
      <c r="I16" s="94"/>
    </row>
  </sheetData>
  <mergeCells count="4">
    <mergeCell ref="A1:D1"/>
    <mergeCell ref="A4:B4"/>
    <mergeCell ref="K8:N8"/>
    <mergeCell ref="A16:I16"/>
  </mergeCells>
  <conditionalFormatting sqref="N10:N11 K10:M12">
    <cfRule type="cellIs" dxfId="5" priority="1" operator="notEqual">
      <formula>0</formula>
    </cfRule>
  </conditionalFormatting>
  <conditionalFormatting sqref="N12">
    <cfRule type="expression" dxfId="4" priority="2">
      <formula>$N$10&lt;&gt;0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0157-A205-49D1-8F35-FB043308F1A7}">
  <dimension ref="A1:N19"/>
  <sheetViews>
    <sheetView workbookViewId="0">
      <selection activeCell="A18" sqref="A18:I18"/>
    </sheetView>
  </sheetViews>
  <sheetFormatPr defaultRowHeight="15" x14ac:dyDescent="0.25"/>
  <cols>
    <col min="1" max="1" width="21.85546875" customWidth="1"/>
    <col min="2" max="2" width="14.140625" bestFit="1" customWidth="1"/>
    <col min="3" max="3" width="15" customWidth="1"/>
    <col min="4" max="4" width="18.5703125" customWidth="1"/>
    <col min="5" max="5" width="16.28515625" customWidth="1"/>
    <col min="6" max="6" width="15.5703125" customWidth="1"/>
    <col min="7" max="7" width="14.5703125" customWidth="1"/>
    <col min="8" max="8" width="11.85546875" customWidth="1"/>
    <col min="9" max="9" width="13" customWidth="1"/>
    <col min="10" max="10" width="11.28515625" customWidth="1"/>
  </cols>
  <sheetData>
    <row r="1" spans="1:14" ht="23.25" x14ac:dyDescent="0.35">
      <c r="A1" s="96" t="s">
        <v>27</v>
      </c>
      <c r="B1" s="96"/>
      <c r="C1" s="96"/>
      <c r="D1" s="96"/>
      <c r="E1" s="15"/>
    </row>
    <row r="3" spans="1:14" ht="15.75" thickBot="1" x14ac:dyDescent="0.3"/>
    <row r="4" spans="1:14" x14ac:dyDescent="0.25">
      <c r="A4" s="85" t="s">
        <v>13</v>
      </c>
      <c r="B4" s="85"/>
      <c r="C4" s="1" t="s">
        <v>9</v>
      </c>
      <c r="D4" s="74">
        <v>0.02</v>
      </c>
      <c r="E4" s="77"/>
    </row>
    <row r="5" spans="1:14" x14ac:dyDescent="0.25">
      <c r="C5" s="2" t="s">
        <v>10</v>
      </c>
      <c r="D5" s="75">
        <v>8.5</v>
      </c>
      <c r="E5" s="78"/>
    </row>
    <row r="6" spans="1:14" x14ac:dyDescent="0.25">
      <c r="C6" s="2" t="s">
        <v>11</v>
      </c>
      <c r="D6" s="76">
        <f>10*4500</f>
        <v>45000</v>
      </c>
      <c r="E6" s="79"/>
    </row>
    <row r="7" spans="1:14" ht="43.5" customHeight="1" thickBot="1" x14ac:dyDescent="0.3">
      <c r="C7" s="28" t="s">
        <v>12</v>
      </c>
      <c r="D7" s="81" t="s">
        <v>38</v>
      </c>
      <c r="E7" s="80"/>
    </row>
    <row r="8" spans="1:14" ht="16.5" customHeight="1" thickBot="1" x14ac:dyDescent="0.3">
      <c r="K8" s="97" t="s">
        <v>8</v>
      </c>
      <c r="L8" s="98"/>
      <c r="M8" s="98"/>
      <c r="N8" s="99"/>
    </row>
    <row r="9" spans="1:14" ht="66.75" customHeight="1" thickBot="1" x14ac:dyDescent="0.3">
      <c r="A9" s="39" t="s">
        <v>1</v>
      </c>
      <c r="B9" s="25" t="s">
        <v>2</v>
      </c>
      <c r="C9" s="8" t="s">
        <v>3</v>
      </c>
      <c r="D9" s="9" t="s">
        <v>4</v>
      </c>
      <c r="E9" s="9" t="s">
        <v>5</v>
      </c>
      <c r="F9" s="10" t="s">
        <v>25</v>
      </c>
      <c r="G9" s="10" t="s">
        <v>26</v>
      </c>
      <c r="H9" s="11" t="s">
        <v>6</v>
      </c>
      <c r="I9" s="12" t="s">
        <v>7</v>
      </c>
      <c r="K9" s="34" t="s">
        <v>16</v>
      </c>
      <c r="L9" s="35" t="s">
        <v>17</v>
      </c>
      <c r="M9" s="36" t="s">
        <v>18</v>
      </c>
      <c r="N9" s="37" t="s">
        <v>19</v>
      </c>
    </row>
    <row r="10" spans="1:14" x14ac:dyDescent="0.25">
      <c r="A10" s="42" t="s">
        <v>21</v>
      </c>
      <c r="B10" s="22">
        <v>210000</v>
      </c>
      <c r="C10" s="23">
        <v>210000</v>
      </c>
      <c r="D10" s="23">
        <f>B10*$D$4</f>
        <v>4200</v>
      </c>
      <c r="E10" s="23">
        <v>4200</v>
      </c>
      <c r="F10" s="23">
        <f>D10*$D$5</f>
        <v>35700</v>
      </c>
      <c r="G10" s="23">
        <v>35700</v>
      </c>
      <c r="H10" s="23">
        <f>F10-$D$6</f>
        <v>-9300</v>
      </c>
      <c r="I10" s="24">
        <v>-9300</v>
      </c>
      <c r="K10" s="31">
        <f>B10-C10</f>
        <v>0</v>
      </c>
      <c r="L10" s="32">
        <f>D10-E10</f>
        <v>0</v>
      </c>
      <c r="M10" s="32">
        <f>F10-G10</f>
        <v>0</v>
      </c>
      <c r="N10" s="33">
        <f>H10-I10</f>
        <v>0</v>
      </c>
    </row>
    <row r="11" spans="1:14" ht="15.75" x14ac:dyDescent="0.25">
      <c r="A11" s="40" t="s">
        <v>34</v>
      </c>
      <c r="B11" s="20">
        <v>130000</v>
      </c>
      <c r="C11" s="16">
        <v>130000</v>
      </c>
      <c r="D11" s="16">
        <f>B11*$D$4</f>
        <v>2600</v>
      </c>
      <c r="E11" s="16">
        <v>2600</v>
      </c>
      <c r="F11" s="16">
        <f>D11*$D$5</f>
        <v>22100</v>
      </c>
      <c r="G11" s="16">
        <v>22100</v>
      </c>
      <c r="H11" s="16">
        <f>F11-$D$6</f>
        <v>-22900</v>
      </c>
      <c r="I11" s="17">
        <v>-22900</v>
      </c>
      <c r="K11" s="26">
        <f>B11-C11</f>
        <v>0</v>
      </c>
      <c r="L11" s="7">
        <f>D11-E11</f>
        <v>0</v>
      </c>
      <c r="M11" s="7">
        <f>F11-G11</f>
        <v>0</v>
      </c>
      <c r="N11" s="27">
        <f>H11-I11</f>
        <v>0</v>
      </c>
    </row>
    <row r="12" spans="1:14" ht="15.75" x14ac:dyDescent="0.25">
      <c r="A12" s="41" t="s">
        <v>35</v>
      </c>
      <c r="B12" s="20">
        <v>210000</v>
      </c>
      <c r="C12" s="16">
        <v>210000</v>
      </c>
      <c r="D12" s="16">
        <f>B12*$D$4</f>
        <v>4200</v>
      </c>
      <c r="E12" s="16">
        <v>4200</v>
      </c>
      <c r="F12" s="16">
        <f>D12*$D$5</f>
        <v>35700</v>
      </c>
      <c r="G12" s="16">
        <v>35700</v>
      </c>
      <c r="H12" s="16">
        <f>F12-$D$6</f>
        <v>-9300</v>
      </c>
      <c r="I12" s="17">
        <v>-9300</v>
      </c>
      <c r="K12" s="26">
        <f>B12-C12</f>
        <v>0</v>
      </c>
      <c r="L12" s="7">
        <f>D12-E12</f>
        <v>0</v>
      </c>
      <c r="M12" s="7">
        <f>F12-G12</f>
        <v>0</v>
      </c>
      <c r="N12" s="27">
        <f>H12-I12</f>
        <v>0</v>
      </c>
    </row>
    <row r="13" spans="1:14" x14ac:dyDescent="0.25">
      <c r="A13" s="42" t="s">
        <v>37</v>
      </c>
      <c r="B13" s="20">
        <v>110000</v>
      </c>
      <c r="C13" s="16">
        <v>110000</v>
      </c>
      <c r="D13" s="16">
        <f>B13*$D$4</f>
        <v>2200</v>
      </c>
      <c r="E13" s="16">
        <v>2200</v>
      </c>
      <c r="F13" s="16">
        <f>D13*$D$5</f>
        <v>18700</v>
      </c>
      <c r="G13" s="16">
        <v>18700</v>
      </c>
      <c r="H13" s="16">
        <f>F13-$D$6</f>
        <v>-26300</v>
      </c>
      <c r="I13" s="17">
        <v>-26300</v>
      </c>
      <c r="K13" s="26">
        <f>B13-C13</f>
        <v>0</v>
      </c>
      <c r="L13" s="7">
        <f>D13-E13</f>
        <v>0</v>
      </c>
      <c r="M13" s="7">
        <f>F13-G13</f>
        <v>0</v>
      </c>
      <c r="N13" s="27">
        <f>H13-I13</f>
        <v>0</v>
      </c>
    </row>
    <row r="14" spans="1:14" ht="17.25" customHeight="1" thickBot="1" x14ac:dyDescent="0.3">
      <c r="A14" s="43" t="s">
        <v>36</v>
      </c>
      <c r="B14" s="21">
        <v>90000</v>
      </c>
      <c r="C14" s="18">
        <v>90000</v>
      </c>
      <c r="D14" s="18">
        <f>B14*$D$4</f>
        <v>1800</v>
      </c>
      <c r="E14" s="18">
        <v>1800</v>
      </c>
      <c r="F14" s="18">
        <f>D14*$D$5</f>
        <v>15300</v>
      </c>
      <c r="G14" s="18">
        <v>15300</v>
      </c>
      <c r="H14" s="18">
        <f>F14-$D$6</f>
        <v>-29700</v>
      </c>
      <c r="I14" s="19">
        <v>-29700</v>
      </c>
      <c r="K14" s="28">
        <f>B14-C14</f>
        <v>0</v>
      </c>
      <c r="L14" s="29">
        <f>D14-E14</f>
        <v>0</v>
      </c>
      <c r="M14" s="29">
        <f>F14-G14</f>
        <v>0</v>
      </c>
      <c r="N14" s="30">
        <f>H14-I14</f>
        <v>0</v>
      </c>
    </row>
    <row r="17" spans="1:9" x14ac:dyDescent="0.25">
      <c r="A17" s="38" t="s">
        <v>14</v>
      </c>
    </row>
    <row r="18" spans="1:9" ht="52.5" customHeight="1" x14ac:dyDescent="0.25">
      <c r="A18" s="95" t="s">
        <v>39</v>
      </c>
      <c r="B18" s="95"/>
      <c r="C18" s="95"/>
      <c r="D18" s="95"/>
      <c r="E18" s="95"/>
      <c r="F18" s="95"/>
      <c r="G18" s="95"/>
      <c r="H18" s="95"/>
      <c r="I18" s="95"/>
    </row>
    <row r="19" spans="1:9" ht="20.25" customHeight="1" x14ac:dyDescent="0.25"/>
  </sheetData>
  <mergeCells count="4">
    <mergeCell ref="A18:I18"/>
    <mergeCell ref="A1:D1"/>
    <mergeCell ref="A4:B4"/>
    <mergeCell ref="K8:N8"/>
  </mergeCells>
  <conditionalFormatting sqref="K10:M14">
    <cfRule type="cellIs" dxfId="3" priority="1" operator="notEqual">
      <formula>0</formula>
    </cfRule>
  </conditionalFormatting>
  <conditionalFormatting sqref="N10:N14">
    <cfRule type="expression" dxfId="2" priority="2">
      <formula>$N$10&lt;&gt;0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B7FD8-D6F0-46E9-949D-2BA6587C56D8}">
  <dimension ref="A1:N19"/>
  <sheetViews>
    <sheetView workbookViewId="0">
      <selection activeCell="S13" sqref="S13:T13"/>
    </sheetView>
  </sheetViews>
  <sheetFormatPr defaultRowHeight="15" x14ac:dyDescent="0.25"/>
  <cols>
    <col min="1" max="1" width="21.85546875" customWidth="1"/>
    <col min="2" max="2" width="14.140625" bestFit="1" customWidth="1"/>
    <col min="3" max="3" width="15" customWidth="1"/>
    <col min="4" max="4" width="18.140625" customWidth="1"/>
    <col min="5" max="5" width="17" customWidth="1"/>
    <col min="6" max="6" width="15.5703125" customWidth="1"/>
    <col min="7" max="7" width="14.5703125" customWidth="1"/>
    <col min="8" max="8" width="11.85546875" customWidth="1"/>
    <col min="9" max="9" width="13" customWidth="1"/>
    <col min="10" max="10" width="11.28515625" customWidth="1"/>
  </cols>
  <sheetData>
    <row r="1" spans="1:14" ht="23.25" x14ac:dyDescent="0.35">
      <c r="A1" s="84" t="s">
        <v>28</v>
      </c>
      <c r="B1" s="84"/>
      <c r="C1" s="84"/>
      <c r="D1" s="84"/>
      <c r="E1" s="15"/>
    </row>
    <row r="3" spans="1:14" ht="15.75" thickBot="1" x14ac:dyDescent="0.3"/>
    <row r="4" spans="1:14" x14ac:dyDescent="0.25">
      <c r="A4" s="85" t="s">
        <v>13</v>
      </c>
      <c r="B4" s="85"/>
      <c r="C4" s="1" t="s">
        <v>9</v>
      </c>
      <c r="D4" s="5">
        <v>0.02</v>
      </c>
    </row>
    <row r="5" spans="1:14" x14ac:dyDescent="0.25">
      <c r="C5" s="2" t="s">
        <v>10</v>
      </c>
      <c r="D5" s="3">
        <v>8.5</v>
      </c>
    </row>
    <row r="6" spans="1:14" x14ac:dyDescent="0.25">
      <c r="C6" s="2" t="s">
        <v>11</v>
      </c>
      <c r="D6" s="13">
        <v>80000</v>
      </c>
    </row>
    <row r="7" spans="1:14" ht="15.75" thickBot="1" x14ac:dyDescent="0.3">
      <c r="C7" s="4" t="s">
        <v>12</v>
      </c>
      <c r="D7" s="14" t="s">
        <v>40</v>
      </c>
    </row>
    <row r="8" spans="1:14" ht="16.5" customHeight="1" thickBot="1" x14ac:dyDescent="0.3">
      <c r="K8" s="86" t="s">
        <v>8</v>
      </c>
      <c r="L8" s="87"/>
      <c r="M8" s="87"/>
      <c r="N8" s="88"/>
    </row>
    <row r="9" spans="1:14" ht="66.75" customHeight="1" thickBot="1" x14ac:dyDescent="0.3">
      <c r="A9" s="44" t="s">
        <v>1</v>
      </c>
      <c r="B9" s="25" t="s">
        <v>2</v>
      </c>
      <c r="C9" s="8" t="s">
        <v>3</v>
      </c>
      <c r="D9" s="9" t="s">
        <v>4</v>
      </c>
      <c r="E9" s="9" t="s">
        <v>5</v>
      </c>
      <c r="F9" s="10" t="s">
        <v>25</v>
      </c>
      <c r="G9" s="10" t="s">
        <v>26</v>
      </c>
      <c r="H9" s="11" t="s">
        <v>6</v>
      </c>
      <c r="I9" s="12" t="s">
        <v>7</v>
      </c>
      <c r="K9" s="34" t="s">
        <v>16</v>
      </c>
      <c r="L9" s="35" t="s">
        <v>17</v>
      </c>
      <c r="M9" s="36" t="s">
        <v>18</v>
      </c>
      <c r="N9" s="37" t="s">
        <v>19</v>
      </c>
    </row>
    <row r="10" spans="1:14" ht="15.75" x14ac:dyDescent="0.25">
      <c r="A10" s="45" t="s">
        <v>22</v>
      </c>
      <c r="B10" s="22">
        <v>3070000</v>
      </c>
      <c r="C10" s="23">
        <v>3070000</v>
      </c>
      <c r="D10" s="23">
        <f>B10*$D$4</f>
        <v>61400</v>
      </c>
      <c r="E10" s="23">
        <v>61400</v>
      </c>
      <c r="F10" s="23">
        <f>D10*$D$5</f>
        <v>521900</v>
      </c>
      <c r="G10" s="23">
        <v>521900</v>
      </c>
      <c r="H10" s="23">
        <f>F10-$D$6</f>
        <v>441900</v>
      </c>
      <c r="I10" s="24">
        <v>441900</v>
      </c>
      <c r="K10" s="31">
        <f>B10-C10</f>
        <v>0</v>
      </c>
      <c r="L10" s="32">
        <f>D10-E10</f>
        <v>0</v>
      </c>
      <c r="M10" s="32">
        <f>F10-G10</f>
        <v>0</v>
      </c>
      <c r="N10" s="72">
        <f>H10-I10</f>
        <v>0</v>
      </c>
    </row>
    <row r="11" spans="1:14" ht="15.75" x14ac:dyDescent="0.25">
      <c r="A11" s="46" t="s">
        <v>20</v>
      </c>
      <c r="B11" s="20">
        <v>1690000</v>
      </c>
      <c r="C11" s="16">
        <v>1690000</v>
      </c>
      <c r="D11" s="16">
        <f>B11*$D$4</f>
        <v>33800</v>
      </c>
      <c r="E11" s="16">
        <v>33800</v>
      </c>
      <c r="F11" s="16">
        <f>D11*$D$5</f>
        <v>287300</v>
      </c>
      <c r="G11" s="16">
        <v>287300</v>
      </c>
      <c r="H11" s="16">
        <f>F11-$D$6</f>
        <v>207300</v>
      </c>
      <c r="I11" s="17">
        <v>207300</v>
      </c>
      <c r="K11" s="26">
        <f>B11-C11</f>
        <v>0</v>
      </c>
      <c r="L11" s="7">
        <f>D11-E11</f>
        <v>0</v>
      </c>
      <c r="M11" s="7">
        <f>F11-G11</f>
        <v>0</v>
      </c>
      <c r="N11" s="27">
        <f>H11-I11</f>
        <v>0</v>
      </c>
    </row>
    <row r="12" spans="1:14" ht="31.5" x14ac:dyDescent="0.25">
      <c r="A12" s="47" t="s">
        <v>23</v>
      </c>
      <c r="B12" s="20">
        <v>5460000</v>
      </c>
      <c r="C12" s="16">
        <v>5460000</v>
      </c>
      <c r="D12" s="16">
        <f>B12*$D$4</f>
        <v>109200</v>
      </c>
      <c r="E12" s="16">
        <v>109200</v>
      </c>
      <c r="F12" s="16">
        <f>D12*$D$5</f>
        <v>928200</v>
      </c>
      <c r="G12" s="16">
        <v>928200</v>
      </c>
      <c r="H12" s="16">
        <f>F12-$D$6</f>
        <v>848200</v>
      </c>
      <c r="I12" s="17">
        <v>848200</v>
      </c>
      <c r="K12" s="26">
        <f>B12-C12</f>
        <v>0</v>
      </c>
      <c r="L12" s="7">
        <f>D12-E12</f>
        <v>0</v>
      </c>
      <c r="M12" s="7">
        <f>F12-G12</f>
        <v>0</v>
      </c>
      <c r="N12" s="27">
        <f>H12-I12</f>
        <v>0</v>
      </c>
    </row>
    <row r="13" spans="1:14" x14ac:dyDescent="0.25">
      <c r="A13" s="48" t="s">
        <v>21</v>
      </c>
      <c r="B13" s="20">
        <v>210000</v>
      </c>
      <c r="C13" s="16">
        <v>210000</v>
      </c>
      <c r="D13" s="16">
        <f>B13*$D$4</f>
        <v>4200</v>
      </c>
      <c r="E13" s="16">
        <v>4200</v>
      </c>
      <c r="F13" s="16">
        <f>D13*$D$5</f>
        <v>35700</v>
      </c>
      <c r="G13" s="16">
        <v>35700</v>
      </c>
      <c r="H13" s="16">
        <f>F13-$D$6</f>
        <v>-44300</v>
      </c>
      <c r="I13" s="17">
        <v>-44300</v>
      </c>
      <c r="K13" s="26">
        <f>B13-C13</f>
        <v>0</v>
      </c>
      <c r="L13" s="7">
        <f>D13-E13</f>
        <v>0</v>
      </c>
      <c r="M13" s="7">
        <f>F13-G13</f>
        <v>0</v>
      </c>
      <c r="N13" s="27">
        <f>H13-I13</f>
        <v>0</v>
      </c>
    </row>
    <row r="14" spans="1:14" ht="29.25" customHeight="1" thickBot="1" x14ac:dyDescent="0.3">
      <c r="A14" s="49" t="s">
        <v>24</v>
      </c>
      <c r="B14" s="21">
        <v>3440000</v>
      </c>
      <c r="C14" s="18">
        <v>3440000</v>
      </c>
      <c r="D14" s="18">
        <f>B14*$D$4</f>
        <v>68800</v>
      </c>
      <c r="E14" s="18">
        <v>68800</v>
      </c>
      <c r="F14" s="18">
        <f>D14*$D$5</f>
        <v>584800</v>
      </c>
      <c r="G14" s="18">
        <v>584800</v>
      </c>
      <c r="H14" s="82">
        <f>F14-$D$6</f>
        <v>504800</v>
      </c>
      <c r="I14" s="83">
        <v>504800</v>
      </c>
      <c r="K14" s="28">
        <f>B14-C14</f>
        <v>0</v>
      </c>
      <c r="L14" s="29">
        <f>D14-E14</f>
        <v>0</v>
      </c>
      <c r="M14" s="29">
        <f>F14-G14</f>
        <v>0</v>
      </c>
      <c r="N14" s="30">
        <f>H14-I14</f>
        <v>0</v>
      </c>
    </row>
    <row r="17" spans="1:9" x14ac:dyDescent="0.25">
      <c r="A17" s="38" t="s">
        <v>14</v>
      </c>
    </row>
    <row r="18" spans="1:9" ht="46.5" customHeight="1" x14ac:dyDescent="0.25">
      <c r="A18" s="89" t="s">
        <v>41</v>
      </c>
      <c r="B18" s="89"/>
      <c r="C18" s="89"/>
      <c r="D18" s="89"/>
      <c r="E18" s="89"/>
      <c r="F18" s="89"/>
      <c r="G18" s="89"/>
      <c r="H18" s="89"/>
      <c r="I18" s="89"/>
    </row>
    <row r="19" spans="1:9" ht="20.25" customHeight="1" x14ac:dyDescent="0.25"/>
  </sheetData>
  <mergeCells count="4">
    <mergeCell ref="A1:D1"/>
    <mergeCell ref="A4:B4"/>
    <mergeCell ref="K8:N8"/>
    <mergeCell ref="A18:I18"/>
  </mergeCells>
  <conditionalFormatting sqref="K10:M14">
    <cfRule type="cellIs" dxfId="1" priority="1" operator="notEqual">
      <formula>0</formula>
    </cfRule>
  </conditionalFormatting>
  <conditionalFormatting sqref="N10:N14">
    <cfRule type="expression" dxfId="0" priority="2">
      <formula>$N$10&lt;&gt;0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total subs analysis</vt:lpstr>
      <vt:lpstr>total videos analysis</vt:lpstr>
      <vt:lpstr>total views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winusia@gmail.com</dc:creator>
  <cp:lastModifiedBy>winusia@gmail.com</cp:lastModifiedBy>
  <dcterms:created xsi:type="dcterms:W3CDTF">2026-02-20T10:57:24Z</dcterms:created>
  <dcterms:modified xsi:type="dcterms:W3CDTF">2026-02-28T21:43:38Z</dcterms:modified>
</cp:coreProperties>
</file>